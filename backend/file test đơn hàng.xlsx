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992" windowHeight="125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<sst xmlns="http://schemas.openxmlformats.org/spreadsheetml/2006/main" count="45" uniqueCount="45">
  <si>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STT</t>
  </si>
  <si>
    <t>Tên sản phẩm</t>
  </si>
  <si>
    <t>Mã SP
trên POS</t>
  </si>
  <si>
    <t>Mã viết
tắt SP</t>
  </si>
  <si>
    <t>Nguồn nhập</t>
  </si>
  <si>
    <t>NCC</t>
  </si>
  <si>
    <t>Loại
tiền tệ</t>
  </si>
  <si>
    <t>Hình thức
vận chuyển</t>
  </si>
  <si>
    <t>Ngày
đặt hàng</t>
  </si>
  <si>
    <t>Ngày đến
kho TQ/VN</t>
  </si>
  <si>
    <t>SL đặt
(pcs)</t>
  </si>
  <si>
    <t>Đơn giá nhập
(theo cột F)</t>
  </si>
  <si>
    <t>VC nội địa
TQ/VN (VNĐ)</t>
  </si>
  <si>
    <t>Tiền hàng
(theo cột F)</t>
  </si>
  <si>
    <t>Tỉ giá ngày TT</t>
  </si>
  <si>
    <t>Tổng tiền hàng (VND)</t>
  </si>
  <si>
    <t>Ngày thanh toán tiền hàng</t>
  </si>
  <si>
    <t>Phí order
(VNĐ)</t>
  </si>
  <si>
    <t>Khối lượng
/ Thể tích</t>
  </si>
  <si>
    <t>Đơn giá VC
quốc tế (kg/m3)</t>
  </si>
  <si>
    <t>Tổng cước VC
(theo cột F)</t>
  </si>
  <si>
    <t>Cước VC
quốc tế (VNĐ)</t>
  </si>
  <si>
    <t>Ngày thanh toán cước VC</t>
  </si>
  <si>
    <t>Phí ship
Phil/Malay nội địa (VNĐ)</t>
  </si>
  <si>
    <t>Tổng tiền lô
(VNĐ)</t>
  </si>
  <si>
    <t>GV ĐẦY ĐỦ
1 SP (VNĐ)</t>
  </si>
  <si>
    <t>Phương thức
thanh toán</t>
  </si>
  <si>
    <t>Đã cọc
(VNĐ)</t>
  </si>
  <si>
    <t>Còn phải TT
(VNĐ)</t>
  </si>
  <si>
    <t>Ngày về
thực tế</t>
  </si>
  <si>
    <t>SL kho
nhận (pcs)</t>
  </si>
  <si>
    <t>Người check</t>
  </si>
  <si>
    <t>Ghi chú</t>
  </si>
  <si>
    <t>Ngày thanh toán</t>
  </si>
  <si>
    <t>Tháng thanh toán</t>
  </si>
  <si>
    <t>Check</t>
  </si>
  <si>
    <t>DÂY DA ĐỒNG HỒ</t>
  </si>
  <si>
    <t>C-LEATHER STRAP</t>
  </si>
  <si>
    <t>DDDH</t>
  </si>
  <si>
    <t>TRUNG QUỐC</t>
  </si>
  <si>
    <t>CNY</t>
  </si>
  <si>
    <t>SEA PHI</t>
  </si>
  <si>
    <t>CNY qua CK bank</t>
  </si>
  <si>
    <t>Nhung</t>
  </si>
  <si>
    <t>đã thanh toán toàn bộ công nợ (16/01)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</si>
</sst>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_);_(* \(#,##0\);_(* \-??_);_(@_)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1"/>
      <name val="Calibri"/>
      <charset val="134"/>
      <scheme val="minor"/>
    </font>
    <font>
      <b/>
      <sz val="11"/>
      <color rgb="FFFFFFFF"/>
      <name val="Arial"/>
      <charset val="134"/>
    </font>
    <font>
      <sz val="10"/>
      <color theme="1"/>
      <name val="Arial"/>
      <charset val="134"/>
    </font>
    <font>
      <b/>
      <sz val="10"/>
      <color rgb="FF1F4E79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B5EA7"/>
        <bgColor rgb="FF7B5EA7"/>
      </patternFill>
    </fill>
    <fill>
      <patternFill patternType="solid">
        <fgColor rgb="FF1F4E79"/>
        <bgColor rgb="FF1F4E79"/>
      </patternFill>
    </fill>
    <fill>
      <patternFill patternType="solid">
        <fgColor rgb="FF00B050"/>
        <bgColor rgb="FF00B050"/>
      </patternFill>
    </fill>
    <fill>
      <patternFill patternType="solid">
        <fgColor rgb="FF595959"/>
        <bgColor rgb="FF595959"/>
      </patternFill>
    </fill>
    <fill>
      <patternFill patternType="solid">
        <fgColor rgb="FFF0EBFF"/>
        <bgColor rgb="FFF0EBFF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58" fontId="1" fillId="3" borderId="0" xfId="0" applyNumberFormat="1" applyFont="1" applyFill="1" applyBorder="1" applyAlignment="1">
      <alignment horizontal="center" vertical="center" wrapText="1"/>
    </xf>
    <xf numFmtId="3" fontId="1" fillId="3" borderId="0" xfId="0" applyNumberFormat="1" applyFont="1" applyFill="1" applyBorder="1" applyAlignment="1">
      <alignment horizontal="center" vertical="center" wrapText="1"/>
    </xf>
    <xf numFmtId="180" fontId="1" fillId="3" borderId="0" xfId="0" applyNumberFormat="1" applyFont="1" applyFill="1" applyBorder="1" applyAlignment="1">
      <alignment horizontal="center" vertical="center" wrapText="1"/>
    </xf>
    <xf numFmtId="180" fontId="1" fillId="2" borderId="0" xfId="0" applyNumberFormat="1" applyFont="1" applyFill="1" applyBorder="1" applyAlignment="1">
      <alignment horizontal="center" vertical="center" wrapText="1"/>
    </xf>
    <xf numFmtId="58" fontId="1" fillId="2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58" fontId="1" fillId="4" borderId="0" xfId="0" applyNumberFormat="1" applyFont="1" applyFill="1" applyBorder="1" applyAlignment="1">
      <alignment horizontal="center" vertical="center" wrapText="1"/>
    </xf>
    <xf numFmtId="3" fontId="1" fillId="4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0" fontId="3" fillId="4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vertical="center" wrapText="1"/>
    </xf>
    <xf numFmtId="58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vertical="center" wrapText="1"/>
    </xf>
    <xf numFmtId="180" fontId="4" fillId="0" borderId="1" xfId="0" applyNumberFormat="1" applyFont="1" applyFill="1" applyBorder="1" applyAlignment="1">
      <alignment vertical="center" wrapText="1"/>
    </xf>
    <xf numFmtId="180" fontId="6" fillId="6" borderId="1" xfId="0" applyNumberFormat="1" applyFont="1" applyFill="1" applyBorder="1" applyAlignment="1">
      <alignment vertical="center" wrapText="1"/>
    </xf>
    <xf numFmtId="180" fontId="4" fillId="6" borderId="1" xfId="0" applyNumberFormat="1" applyFont="1" applyFill="1" applyBorder="1" applyAlignment="1">
      <alignment vertical="center"/>
    </xf>
    <xf numFmtId="180" fontId="4" fillId="6" borderId="1" xfId="0" applyNumberFormat="1" applyFont="1" applyFill="1" applyBorder="1" applyAlignment="1">
      <alignment vertical="center" wrapText="1"/>
    </xf>
    <xf numFmtId="58" fontId="4" fillId="6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58" fontId="4" fillId="6" borderId="1" xfId="0" applyNumberFormat="1" applyFont="1" applyFill="1" applyBorder="1" applyAlignment="1">
      <alignment vertical="center"/>
    </xf>
    <xf numFmtId="180" fontId="4" fillId="0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"/>
  <sheetViews>
    <sheetView tabSelected="1" workbookViewId="0">
      <selection activeCell="N1" sqref="N1"/>
    </sheetView>
  </sheetViews>
  <sheetFormatPr defaultColWidth="8.88888888888889" defaultRowHeight="14.4" outlineLevelRow="1"/>
  <cols>
    <col min="2" max="2" width="14.5555555555556" customWidth="1"/>
    <col min="3" max="3" width="15.1111111111111" customWidth="1"/>
    <col min="9" max="9" width="10.8888888888889"/>
    <col min="10" max="10" width="14.6666666666667" customWidth="1"/>
    <col min="16" max="16" width="15.2222222222222" customWidth="1"/>
    <col min="22" max="22" width="17.1111111111111" customWidth="1"/>
    <col min="25" max="25" width="21.3333333333333" customWidth="1"/>
    <col min="27" max="27" width="13.7777777777778" customWidth="1"/>
    <col min="28" max="28" width="18.4444444444444" customWidth="1"/>
    <col min="30" max="30" width="20.4444444444444" customWidth="1"/>
    <col min="31" max="31" width="15.1111111111111" customWidth="1"/>
    <col min="32" max="32" width="11.3333333333333" customWidth="1"/>
    <col min="33" max="33" width="15.4444444444444" customWidth="1"/>
  </cols>
  <sheetData>
    <row r="1" ht="52.8" spans="1:3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6" t="s">
        <v>21</v>
      </c>
      <c r="W1" s="7" t="s">
        <v>22</v>
      </c>
      <c r="X1" s="8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9" t="s">
        <v>29</v>
      </c>
      <c r="AE1" s="10" t="s">
        <v>30</v>
      </c>
      <c r="AF1" s="8" t="s">
        <v>31</v>
      </c>
      <c r="AG1" s="11" t="s">
        <v>32</v>
      </c>
      <c r="AH1" s="11"/>
      <c r="AI1" s="2" t="s">
        <v>33</v>
      </c>
      <c r="AJ1" s="2" t="s">
        <v>34</v>
      </c>
      <c r="AK1" s="12"/>
      <c r="AL1" s="13" t="s">
        <v>35</v>
      </c>
    </row>
    <row r="2" ht="39.6" spans="1:38">
      <c r="A2" s="14">
        <f>IF(ISBLANK(B36)="","",COUNTA($B$2:B2))</f>
        <v>1</v>
      </c>
      <c r="B2" s="15" t="s">
        <v>36</v>
      </c>
      <c r="C2" s="15" t="s">
        <v>37</v>
      </c>
      <c r="D2" s="15" t="s">
        <v>38</v>
      </c>
      <c r="E2" s="15" t="s">
        <v>39</v>
      </c>
      <c r="F2" s="15"/>
      <c r="G2" s="16" t="s">
        <v>40</v>
      </c>
      <c r="H2" s="15" t="s">
        <v>41</v>
      </c>
      <c r="I2" s="17">
        <v>46025</v>
      </c>
      <c r="J2" s="18">
        <v>46032</v>
      </c>
      <c r="K2" s="19">
        <v>200</v>
      </c>
      <c r="L2" s="20">
        <v>18</v>
      </c>
      <c r="M2" s="21">
        <v>200</v>
      </c>
      <c r="N2" s="22">
        <f>K2*L2+IF(ISNUMBER(M2),M2,0)</f>
        <v>3800</v>
      </c>
      <c r="O2" s="23">
        <v>3901</v>
      </c>
      <c r="P2" s="24">
        <f>N2*O2+IF(ISNUMBER(R2),R2,0)</f>
        <v>14823800</v>
      </c>
      <c r="Q2" s="25"/>
      <c r="R2" s="26"/>
      <c r="S2" s="26">
        <v>0.05</v>
      </c>
      <c r="T2" s="26">
        <v>760</v>
      </c>
      <c r="U2" s="27">
        <f>IFERROR(S2*T2,"")</f>
        <v>38</v>
      </c>
      <c r="V2" s="23">
        <f>U2*3878</f>
        <v>147364</v>
      </c>
      <c r="W2" s="28"/>
      <c r="X2" s="20"/>
      <c r="Y2" s="23">
        <f>IFERROR(IF(ISNUMBER(P2),P2,0)+IF(ISNUMBER(V2),V2,0)+IF(ISNUMBER(X2),X2,0),"")</f>
        <v>14971164</v>
      </c>
      <c r="Z2" s="23">
        <f>IFERROR(Y2/K2,"")</f>
        <v>74855.82</v>
      </c>
      <c r="AA2" s="26" t="s">
        <v>42</v>
      </c>
      <c r="AB2" s="29">
        <v>14971164</v>
      </c>
      <c r="AC2" s="23">
        <f>IFERROR(Y2-IF(ISNUMBER(AB2),AB2,0),"")</f>
        <v>0</v>
      </c>
      <c r="AD2" s="17">
        <v>46053</v>
      </c>
      <c r="AE2" s="19">
        <v>200</v>
      </c>
      <c r="AF2" s="15" t="s">
        <v>43</v>
      </c>
      <c r="AG2" s="15" t="s">
        <v>44</v>
      </c>
      <c r="AH2" s="15"/>
      <c r="AI2" s="15"/>
      <c r="AJ2" s="15">
        <f>MONTH(AI2)</f>
        <v>1</v>
      </c>
      <c r="AK2" s="15">
        <f>MONTH(AD2)</f>
        <v>1</v>
      </c>
      <c r="AL2" s="15"/>
    </row>
  </sheetData>
  <conditionalFormatting sqref="J2">
    <cfRule type="expression" dxfId="0" priority="1">
      <formula>AND($I2&lt;&gt;"",$AD2="")</formula>
    </cfRule>
    <cfRule type="expression" dxfId="1" priority="2">
      <formula>$AD2&lt;&gt;""</formula>
    </cfRule>
  </conditionalFormatting>
  <conditionalFormatting sqref="B2:I2;K2:R2">
    <cfRule type="expression" dxfId="0" priority="3">
      <formula>AND($I2&lt;&gt;"",$AD2="")</formula>
    </cfRule>
    <cfRule type="expression" dxfId="1" priority="4">
      <formula>$AD2&lt;&gt;""</formula>
    </cfRule>
  </conditionalFormatting>
  <dataValidations count="4">
    <dataValidation type="list" allowBlank="1" showErrorMessage="1" sqref="E2">
      <formula1>"TRUNG QUỐC,PHI - LOCAL,SHOPEE PHI,VIỆT NAM,MALAYSIA,UPSALE"</formula1>
    </dataValidation>
    <dataValidation type="list" allowBlank="1" showErrorMessage="1" sqref="G2">
      <formula1>"CNY,PHP,VNĐ,MYR"</formula1>
    </dataValidation>
    <dataValidation type="list" allowBlank="1" showErrorMessage="1" sqref="H2">
      <formula1>"SEA PHI,AIR PHI,SEA MALAY,AIR MALAY,LALAMOVE,SHOPEE PHI"</formula1>
    </dataValidation>
    <dataValidation type="list" allowBlank="1" showErrorMessage="1" sqref="AA2">
      <formula1>"PHP qua GIP,CNY qua CK bank,VNĐ qua CK bank,Chị Nhung TT"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kamit</dc:creator>
  <cp:lastModifiedBy>kamit</cp:lastModifiedBy>
  <dcterms:created xsi:type="dcterms:W3CDTF">2026-06-09T09:56:00Z</dcterms:created>
  <dcterms:modified xsi:type="dcterms:W3CDTF">2026-06-10T03:23:22Z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A2C980846A07476BBF4AF29E42104614_11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